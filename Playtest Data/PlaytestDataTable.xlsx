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udre\Documents\School\GT OMSCS\VGD\Group Project\Gameplay Testing Files\Game Playrtest Documents\Playtest Results\Playtest Results Analyzed\Playtest Result Submittal\"/>
    </mc:Choice>
  </mc:AlternateContent>
  <xr:revisionPtr revIDLastSave="0" documentId="13_ncr:1_{595B4D4D-A6AC-4B3A-94D3-245740910AEF}" xr6:coauthVersionLast="47" xr6:coauthVersionMax="47" xr10:uidLastSave="{00000000-0000-0000-0000-000000000000}"/>
  <bookViews>
    <workbookView xWindow="-108" yWindow="-108" windowWidth="30936" windowHeight="16896" xr2:uid="{00000000-000D-0000-FFFF-FFFF00000000}"/>
  </bookViews>
  <sheets>
    <sheet name="All 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5" i="1"/>
  <c r="P6" i="1"/>
  <c r="P7" i="1"/>
  <c r="P8" i="1"/>
  <c r="P9" i="1"/>
  <c r="P10" i="1"/>
  <c r="P11" i="1"/>
  <c r="P2" i="1"/>
  <c r="C13" i="1"/>
  <c r="F13" i="1"/>
  <c r="G13" i="1"/>
  <c r="I13" i="1"/>
  <c r="J13" i="1"/>
  <c r="K13" i="1"/>
  <c r="L13" i="1"/>
  <c r="M13" i="1"/>
  <c r="N13" i="1"/>
  <c r="O13" i="1"/>
  <c r="C14" i="1"/>
  <c r="F14" i="1"/>
  <c r="G14" i="1"/>
  <c r="I14" i="1"/>
  <c r="J14" i="1"/>
  <c r="K14" i="1"/>
  <c r="L14" i="1"/>
  <c r="M14" i="1"/>
  <c r="N14" i="1"/>
  <c r="O14" i="1"/>
  <c r="C15" i="1"/>
  <c r="F15" i="1"/>
  <c r="G15" i="1"/>
  <c r="I15" i="1"/>
  <c r="J15" i="1"/>
  <c r="K15" i="1"/>
  <c r="L15" i="1"/>
  <c r="M15" i="1"/>
  <c r="N15" i="1"/>
  <c r="O15" i="1"/>
  <c r="O17" i="1" l="1"/>
  <c r="N17" i="1"/>
  <c r="M17" i="1"/>
  <c r="L17" i="1"/>
  <c r="K17" i="1"/>
  <c r="J17" i="1"/>
  <c r="I17" i="1"/>
</calcChain>
</file>

<file path=xl/sharedStrings.xml><?xml version="1.0" encoding="utf-8"?>
<sst xmlns="http://schemas.openxmlformats.org/spreadsheetml/2006/main" count="187" uniqueCount="155">
  <si>
    <t>Administrator</t>
  </si>
  <si>
    <t>Tester Name</t>
  </si>
  <si>
    <t>Age</t>
  </si>
  <si>
    <t>Gender</t>
  </si>
  <si>
    <t>Relationship</t>
  </si>
  <si>
    <t>Death Count</t>
  </si>
  <si>
    <t>Played Again</t>
  </si>
  <si>
    <t>SQ1 - Favorite Area</t>
  </si>
  <si>
    <t>SQ2 - Glitches Observed</t>
  </si>
  <si>
    <t>SQ3 - Too Easy</t>
  </si>
  <si>
    <t>SQ4 - Too Hard</t>
  </si>
  <si>
    <t>SQ5 - Favorite Mechanic</t>
  </si>
  <si>
    <t>SQ6 - Aesthetic</t>
  </si>
  <si>
    <t>OQ1 - Top Improvements</t>
  </si>
  <si>
    <t>OQ2 - Desired Features</t>
  </si>
  <si>
    <t>OQ3 - Other Thoughts</t>
  </si>
  <si>
    <t>Observation Notes</t>
  </si>
  <si>
    <t>Interviewer Notes</t>
  </si>
  <si>
    <t>Audrey Brainerd</t>
  </si>
  <si>
    <t>AB1</t>
  </si>
  <si>
    <t>Brother</t>
  </si>
  <si>
    <t>Yes</t>
  </si>
  <si>
    <t>Second floor was more enjoyable because there was more going on there… bottom level felt sterile in comparison.</t>
  </si>
  <si>
    <t>Was getting stuck on edges of platforms. Got stuck in the ground. Boss turned invisible… twice.</t>
  </si>
  <si>
    <t>Enemies were too easy to fight</t>
  </si>
  <si>
    <t>Jumping was difficult in some places due to the spacing of obstacles. Doesn't have the right feel.</t>
  </si>
  <si>
    <t>Jumping had the best feeling though it needs to be refined</t>
  </si>
  <si>
    <t>Brutalist style (large, utilitarian, simple)</t>
  </si>
  <si>
    <t>1. Platforming feel and spacing of platforms, to make it feel natural. 
2. Enemies need to do something or the gun needs to be worse or something, because they may as well be targets. 
3. Fixing the glitches.</t>
  </si>
  <si>
    <t>Checkpoints- Don't want to have to start over if you die against the boss.</t>
  </si>
  <si>
    <t>No</t>
  </si>
  <si>
    <t>AB2</t>
  </si>
  <si>
    <t>Male</t>
  </si>
  <si>
    <t>Friend</t>
  </si>
  <si>
    <t>First floor had the most going on</t>
  </si>
  <si>
    <t>Pickup items being stuck in the floor, and getting stuck on edges of platforms</t>
  </si>
  <si>
    <t>Boss fight was too easy, combat was too easy as enemies didn't fight back much</t>
  </si>
  <si>
    <t>Discoverability impeded understanding of what to do, such as when jumping unlocked</t>
  </si>
  <si>
    <t>Platforming was most fun, combat was too easy to be much fun</t>
  </si>
  <si>
    <t>Retro, simple throwback that reminds me of half life 2's aesthetic</t>
  </si>
  <si>
    <t>Enemy AI around aggression, UI around objectives and actions to take-- text was a weak way to convey, didn't give useful information, too much text relative to what is important, use sound or visual cues</t>
  </si>
  <si>
    <t>More challenging platforming and puzzles… platforming based puzzles, for example learning a particular mechanic for getting past the green. More "outside the box" thinking rewarded</t>
  </si>
  <si>
    <t>N/A</t>
  </si>
  <si>
    <t>Joshua Newsome</t>
  </si>
  <si>
    <t>JN1</t>
  </si>
  <si>
    <t>No.</t>
  </si>
  <si>
    <t>The parkour and obstacle area in the middle.</t>
  </si>
  <si>
    <t>Periodic clicking noise.</t>
  </si>
  <si>
    <t>Enemy combat has no challenge</t>
  </si>
  <si>
    <t>Platforming and obstacles</t>
  </si>
  <si>
    <t>Sci-fi robots?</t>
  </si>
  <si>
    <t>Enemies and combat. Game feels empty and is short.</t>
  </si>
  <si>
    <t>Great work!</t>
  </si>
  <si>
    <t>JN2</t>
  </si>
  <si>
    <t>Female</t>
  </si>
  <si>
    <t>Most enjoyable area was main starting area</t>
  </si>
  <si>
    <t>catching the edge of platform</t>
  </si>
  <si>
    <t>no</t>
  </si>
  <si>
    <t>getting up the platforms</t>
  </si>
  <si>
    <t>shooting, liked blitzing/gunning them down and not reloading</t>
  </si>
  <si>
    <t>minimalistic robot facility, a little dystopian, actually very de stijl</t>
  </si>
  <si>
    <t>Yes. Would like to be able to upgrade gun for bigger guns. No hoops.</t>
  </si>
  <si>
    <t>The game was baseline fun, but feel like there could have been more in the game.</t>
  </si>
  <si>
    <t>Madeline Luna</t>
  </si>
  <si>
    <t>ML1</t>
  </si>
  <si>
    <t>The exploding barrels were fun and the moving steps. Enjoyed the first floor the most.</t>
  </si>
  <si>
    <t>The start menu panel did not cover the entire screen and had empty world view at the top and bottom of game window.</t>
  </si>
  <si>
    <t>The ability to shoot the robots from far away defeated the purpose of trying to dodge the bullets from the robot enemies.</t>
  </si>
  <si>
    <t xml:space="preserve">The dodging rolling balls was bit too challenging. </t>
  </si>
  <si>
    <t>The enemies were fun to shoot, and trying to hop between moving platforms and lasers was fun.</t>
  </si>
  <si>
    <t>Gray factory room.</t>
  </si>
  <si>
    <t xml:space="preserve">1. The objectives box on the UI needs more attarction maybe by an animation when it changes objectives. Add more interesting objectives as well like defeat a certain type of enemy to unlock a special ability. Especially knowing that or highlighting that the green picku cubes give the player 10 health. 2. Make the explodong barrels give the player and enemies knockback and damage. 3. Make the factory look more like a factory by implementing factory like robot pieces, maybe a conveyor belt with robot parts coming into and out of the room. </t>
  </si>
  <si>
    <t>More visuals added to the game to look more exciting. Maybe doors that open and close as you enter the next floor/room. A more difficult boss room and more realistic piston crushers. Maybe a moving start screen animation so the game looks more engaging, a moving screen when death happens and also when win sequence happens. Maybe also add buttons to open a door that leads to the boss room. A win sequence animation that displays player stats when they win like how long they took and what happens next or maybe a storyline to say what happens to the robot after the escape the facility.</t>
  </si>
  <si>
    <t>Great game idea just needs to be fine tuned.</t>
  </si>
  <si>
    <t>ML2</t>
  </si>
  <si>
    <t>Sister</t>
  </si>
  <si>
    <t>Really liked the robots, exploding barrels.</t>
  </si>
  <si>
    <t>Objectives wasn't working at starting build. Robot gets stuck for a moment in crushing piston when getting hit by it.</t>
  </si>
  <si>
    <t>None</t>
  </si>
  <si>
    <t>The spikey rolling balls ramp. The lasers on the elvator. The moving steps going towards the elavtors.</t>
  </si>
  <si>
    <t xml:space="preserve">Killing the robots was the most fun. </t>
  </si>
  <si>
    <t xml:space="preserve">Factory settings, gray color scheme. </t>
  </si>
  <si>
    <t>1. The boss needs improvement 2. Wants all of the robots to drop a pickup 3. Should say green pickups are health upgrades and there should be a goal of more than three pink pickups in the first floor to unlock the jump ability</t>
  </si>
  <si>
    <t>Would like to see more color, more robot parts in the factory, people at robot making stations, people/robots at each floor level to tell the player what to do instead of the UI objectives notif in the bottom right. Checkpoints should be added in an easy mode to help younger players not have to start from the beginning everytime they die from a challenging portion of the game.</t>
  </si>
  <si>
    <t>A new idea would be to make more robot animals, an oil animation effect.</t>
  </si>
  <si>
    <t>Mariana Zornes</t>
  </si>
  <si>
    <t>MZ1</t>
  </si>
  <si>
    <t>The Ground, so much to shoot at!</t>
  </si>
  <si>
    <t>The player vanishes into the wall for a second there at the yellow pad, also the blocks in the next platform can crush me but I cant jump on them</t>
  </si>
  <si>
    <t>The enemies on the ground, too easy to destroy</t>
  </si>
  <si>
    <t>jumping through to the second level</t>
  </si>
  <si>
    <t>Shooting and the dog robots</t>
  </si>
  <si>
    <t>Retro-futuristic industrial factory with a gritty cyberpunk vibe</t>
  </si>
  <si>
    <t>The boss gave me no fight, I just shot at it and won.</t>
  </si>
  <si>
    <t>A fight with the boss</t>
  </si>
  <si>
    <t>MZ2</t>
  </si>
  <si>
    <t>The lasers in the elevators rotating and the falling blocks felt super cinematic.</t>
  </si>
  <si>
    <t>The platforming blocks are super ruthless, too much damage!</t>
  </si>
  <si>
    <t>The ground floor enemies were pretty easy once I figured out I could just shoot at them from afar.</t>
  </si>
  <si>
    <t>Jumping through to the final boss level, a bit difficult to time the yellow pads but manageable.</t>
  </si>
  <si>
    <t>The lasers in the platforms</t>
  </si>
  <si>
    <t>kinda dark, but not grim</t>
  </si>
  <si>
    <t>The boss fight felt too short and easy.
Some of the platforms feel a bit too slippery.</t>
  </si>
  <si>
    <t>Maybe add a little more visual feedback when the enemy takes damage.</t>
  </si>
  <si>
    <t>clearer path direction between levels maybe</t>
  </si>
  <si>
    <t>Sam Mohseni</t>
  </si>
  <si>
    <t>SM1</t>
  </si>
  <si>
    <t>Girlfriend</t>
  </si>
  <si>
    <t xml:space="preserve">The stairs and obstacle area. </t>
  </si>
  <si>
    <t xml:space="preserve">On the obstacle course to the right, got stuck in a corner when the robot pushed them there and could not move. Also could not kill the robot so they had to kill themselves and restart. </t>
  </si>
  <si>
    <t>Killing the enemies.</t>
  </si>
  <si>
    <t>Platforming and obstacles, also really liked the UI for the player like the inetraction with drops, thought the rolling balls was cool.</t>
  </si>
  <si>
    <t>Reminded them of a Hunger Games for Robots just in a warehouse</t>
  </si>
  <si>
    <t>The fights with the enemies and making sure there is enough health for the higher floors.</t>
  </si>
  <si>
    <t xml:space="preserve">Would like to see more objects and parts oif the enviorment that the robot can interact with. Said that the obstacle course rooms were fun and should betthat interactable all over the map. The open starting area was too much space to them. They believe it would have been easier if there were obstacles on the map they could shoot from and hide behind while engaging enemies. </t>
  </si>
  <si>
    <t>"Add some color, its like a balnd pasta!"</t>
  </si>
  <si>
    <t>SM2</t>
  </si>
  <si>
    <t>The obstacle course after the platforming portion of the stairs.</t>
  </si>
  <si>
    <t>Just not being able to shoot the enemies once they have gotten super close.</t>
  </si>
  <si>
    <t>Not really, found it a little difficult.</t>
  </si>
  <si>
    <t>Being able to destory enemies was difficult.</t>
  </si>
  <si>
    <t>Dodging the rolling balls and obstacle course.</t>
  </si>
  <si>
    <t>"Gives Robot American Ninja Warrior"</t>
  </si>
  <si>
    <t>Enemy/Player Detection and Range, More filled in bottom scne.</t>
  </si>
  <si>
    <t xml:space="preserve">Pick ups for a New gun before the boss scne or a shield that is reloaded over time like Halo. </t>
  </si>
  <si>
    <t>Pretty cool and thinks we have a solid foundation. They believe a PVP of this game would be a lot of fun as well.</t>
  </si>
  <si>
    <t xml:space="preserve">They found it odd that the room was full of enemies in an open space just waiting to be killed rather then a more tunnled or filled up map that leads people from room to room. If in an arena they blieve the enemy should have a wider range to make it slighlty harder or more realstic to how enemies would respond on detection. This user was having a very hard time proceeding after the first floor as they always had low health. After about 20 minutes the play tester gave up. </t>
  </si>
  <si>
    <t>Said “Whoa, this looks way better than I expected” right at the start.
First death at ~55 s  shot a barrel while too close to it. “Okay, those are explosive.”
Second and third deaths (~2:10 and ~3:05) from dog robots lunging and shooting. “These dogs are fast and the bullets deal so much damage!”
Fourth death at ~4:40 ; crushed by a falling platform block.
Fifth death : hit by enemy robots at the second level “I almost had it!”
Reached the end/factory exit at 7:48 on her first attempt. Immediately said “That was actually sick” and started a second run right away.</t>
  </si>
  <si>
    <t>Session went smoothly. Playtester was engaged and vocal throughout. Main bias risk: Maidy is a classmate and may have softened critical feedback slightly despite encouragement. The confusion between levels 2-3 came up organically and may be a design issue worth addressing. Shooting and movement were consistently praised , strong foundation.</t>
  </si>
  <si>
    <t>first death at ~45 s ; ran straight into a barrel. Laughed and said “Yeah that’s on me.”
Second death at ~1:50 ; got shot by the enemy robots while trynna aim at them”
Third death at ~2:40 ;  got cornered by two enemies . “I didn't think they could damage me.”
Reached what looked like the end/factory exit at 10:12. Said “That was actually fun once I figured out the rhythm.”
Played again immediately after winning (voluntary second run).</t>
  </si>
  <si>
    <t>Playtester was very positive overall and highly engaged. She laughed at her own deaths and immediately wanted to play again. Strong praise for visuals and core gameplay, but consistent feedback that the boss needs more challenge. No bias concerns, feedback was constructive and balanced.</t>
  </si>
  <si>
    <t>Playtester had a lot of fun and really liked shooting and killing the evil robots. Wondered about what the boss health was at while shooting. Said the spikey balls were hard to avoid and the lasers as well. Said she kept falling down the moving steps. Said she liked the barrels exploding animation.</t>
  </si>
  <si>
    <t>Because of the playtester's age and inexperience with pc games she needed help with the mouse to make the camera look at what she wanted. At the start of playtesting we noticed that when shooting at all of the robots the objectives did not update to allow the player to jump. Code was fixed mid playtesting to allow playtesting to continue. The moving steps were difficult for the playester because hadn't experienced parkour gameplay on a pc/computer formatted game. The shift key to sprint was forgotten the majority of testing.</t>
  </si>
  <si>
    <t xml:space="preserve">Playtester's demeaner seem calm at start, upon opening the game she like the room size and how there were many robots to defeat on the first floor. Also, wondered why there were two paths. </t>
  </si>
  <si>
    <t>The playtester navigated through the start menus when prompted, ignored them at first, but I believe they are crucial part of a player's first time experience with the game. May need to prompt the player to go to the rules menu if first time playing. And encourage adjusting the settings to work best with their computer.</t>
  </si>
  <si>
    <t>Was really confused that there were robots that looked identical. Really liked shooting everything. Got annoyed at platforming. Got close to making it past the platforming twice but fell towards the end and was very annoyed with the game. Made another comment about enjoying the shooting and killing enemies.</t>
  </si>
  <si>
    <t>Initial confusion on goal/task until noticing objective in UI. Made note about no ammo and ease of killing enemies from accross the map. Mentioned enemies not doing anything / not fighting back, no challenge. Liked the parkour and obstacles but said the depth perception is not great so it's hard to avoid getting hit by obstacles. Liked the falling spike ball section. Boss was too easy. Game end was very abrupt after beating boss.</t>
  </si>
  <si>
    <t>"Ok I am going to hold shift because it says that"
Tesing controls out
"Pink matches the health bar so I guess that is health"
"Don't know what the colors mean"
"Okay, that one didn't drop anything."
"I'm going to try getting damaged by something."
"I thought the pink would give me health, but I guess not."
"Okay, barrels explode"
"Let's go in here without dying." -- on the elevator
"I'm gonna see if the laser hurts me."
"Oh I can jump now! Nothing explained that to me but we'll roll with it."
"Shooting green gthings moves them."
On spike traps: "Looks like a death trap to me... I will try going over it... ok let's not do that again."
"I've run out of things to kill for more health."
"Platforming is  easier without sprinting."
Got stuck on a platform corrner for a second.
Enemy robot in the left level 2 section didn't react to presense.
Had 10 health at reaching rolling balls.
We need an indicator for jump parts collected progress.
"I'm a little confused why there are stairs and an elevator"
On green pushable obstacles: "that seems a little trivial to get through"
On rolling ball obstacle: "I'm going to try shooting the balls... okay that did nothing."
Died first time to roling balls. Small robots not moving in upper room.
"Exploding barrel not damaging adjacent enemies"
"I'm going to shoot everything because my impulse is to clear out a room before progressing"
Remarked on strange acceleration on moving platforms
"Boss fight was too easy and basic"</t>
  </si>
  <si>
    <t>Playtester is a friend of the test administrator and is an avid gamer. It was interesting to observe how quickly he was able to intuit some things in the game, but where his intuition sometimes betrayed him, e.g. assuming that pink pickup items represented health due to the health bar being pink. There was also an instance where he tried to jump over a piston obstacle instead of passing under it, and he was punished for it instead of being rewarded. 
Playtester did an excellent job of speaking out a "stream of consciousness" while playing the game, proiding large amount of valuable data, and also seemed to answer questions well without being overly influenced by any bias such as social desirability.
The playtester seemed to view the session akin to testing rather than just trying to win at the game, such as at one point when he intentionally let an enemy damage him.</t>
  </si>
  <si>
    <t xml:space="preserve">The range of the detection is too short for the enemies and the range of the shooting is too short for the player, states that the player almost always gets ht by the enemy cause they chase too fast once the bulltes are able to reach them. It is also hard to break away from an enemy once they have chased you and gotten enar you, maybe increase the players speed. Stated that they love the look of the drops nd that it almost reminds them a little bit of Bungie Destonys drops. They also sated that it would be nice to have some kind of visual aide on whether or not they are actually hurting the enemy since the enemy just dies once health is 0 without showing any damge being taken. Really liked the barrel and wished that maybe there was a little bit more of these around and a fuller opening arena since its mostly a plain floor of enemies. </t>
  </si>
  <si>
    <t>"I gotta kill all the robots"
"I can not sprint and gun"
"Ahh must have been a barrel"
"Those lasers are probably not good for you"
"I like that you can shoot them out of the way"
Tried to climb the jumping section before unlocking jump
"Did not see the "you can jump now" part"
Assumed that space jumps
Got stuck on elevator and then got unstuck
"I guess I avoid these balls"
Player got stuck in floor and had to start over</t>
  </si>
  <si>
    <t xml:space="preserve">Playtester is test administrator's brother. He had a lot of thoughts to share and seemed focused on providing helpful actionable feedback, avoiding social desirability bias common in particiapnts. </t>
  </si>
  <si>
    <t>Mean</t>
  </si>
  <si>
    <t>Median</t>
  </si>
  <si>
    <t>Std Dev</t>
  </si>
  <si>
    <t>Correlation to Mean</t>
  </si>
  <si>
    <t>Glitch Free</t>
  </si>
  <si>
    <t>Clarity</t>
  </si>
  <si>
    <t>Goal Communication</t>
  </si>
  <si>
    <t>Gameplay Mechanics</t>
  </si>
  <si>
    <t>Visual Style</t>
  </si>
  <si>
    <t>Platforming</t>
  </si>
  <si>
    <t>Combat</t>
  </si>
  <si>
    <t>Completion Time</t>
  </si>
  <si>
    <t>Struggled on the platforming, got frustrated by falling and losing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</si>
</sst>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sz val="6"/>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left" vertical="top"/>
    </xf>
    <xf numFmtId="0" fontId="1" fillId="0" borderId="0" xfId="0" applyFont="1" applyAlignment="1">
      <alignment horizontal="left" vertical="top" wrapText="1"/>
    </xf>
    <xf numFmtId="164" fontId="0" fillId="0" borderId="0" xfId="0" applyNumberFormat="1"/>
    <xf numFmtId="0" fontId="0" fillId="0" borderId="1" xfId="0" applyBorder="1" applyAlignment="1">
      <alignment horizontal="center" vertical="center"/>
    </xf>
    <xf numFmtId="164" fontId="0" fillId="0" borderId="1" xfId="0" applyNumberForma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
  <sheetViews>
    <sheetView tabSelected="1" zoomScale="85" zoomScaleNormal="85" workbookViewId="0">
      <selection activeCell="G37" sqref="G37"/>
    </sheetView>
  </sheetViews>
  <sheetFormatPr defaultRowHeight="14.4" x14ac:dyDescent="0.3"/>
  <cols>
    <col min="1" max="1" width="15.33203125" bestFit="1" customWidth="1"/>
    <col min="2" max="2" width="19.33203125" customWidth="1"/>
    <col min="3" max="3" width="8.88671875" customWidth="1"/>
    <col min="4" max="4" width="10.21875" customWidth="1"/>
    <col min="5" max="5" width="12" customWidth="1"/>
    <col min="6" max="6" width="11.21875" bestFit="1" customWidth="1"/>
    <col min="7" max="7" width="15.6640625" customWidth="1"/>
    <col min="8" max="8" width="12.77734375" customWidth="1"/>
    <col min="9" max="9" width="11.44140625" customWidth="1"/>
    <col min="10" max="10" width="19.5546875" customWidth="1"/>
    <col min="11" max="11" width="19.109375" customWidth="1"/>
    <col min="12" max="12" width="11.77734375" customWidth="1"/>
    <col min="13" max="13" width="14.109375" customWidth="1"/>
    <col min="14" max="14" width="14.33203125" customWidth="1"/>
    <col min="15" max="15" width="14.21875" customWidth="1"/>
    <col min="16" max="16" width="12.33203125" customWidth="1"/>
    <col min="17" max="17" width="96.109375" bestFit="1" customWidth="1"/>
    <col min="18" max="18" width="153.44140625" bestFit="1" customWidth="1"/>
    <col min="19" max="19" width="102" bestFit="1" customWidth="1"/>
    <col min="20" max="20" width="84.21875" bestFit="1" customWidth="1"/>
    <col min="21" max="21" width="107.6640625" bestFit="1" customWidth="1"/>
    <col min="22" max="22" width="56.109375" bestFit="1" customWidth="1"/>
    <col min="23" max="23" width="255.77734375" bestFit="1" customWidth="1"/>
    <col min="24" max="24" width="255.6640625" style="1" customWidth="1"/>
    <col min="25" max="25" width="93.5546875" style="1" bestFit="1" customWidth="1"/>
    <col min="26" max="26" width="87.77734375" style="2" customWidth="1"/>
    <col min="27" max="27" width="146.5546875" customWidth="1"/>
  </cols>
  <sheetData>
    <row r="1" spans="1:27" x14ac:dyDescent="0.3">
      <c r="A1" t="s">
        <v>0</v>
      </c>
      <c r="B1" t="s">
        <v>1</v>
      </c>
      <c r="C1" t="s">
        <v>2</v>
      </c>
      <c r="D1" t="s">
        <v>3</v>
      </c>
      <c r="E1" t="s">
        <v>4</v>
      </c>
      <c r="F1" t="s">
        <v>5</v>
      </c>
      <c r="G1" t="s">
        <v>153</v>
      </c>
      <c r="H1" t="s">
        <v>6</v>
      </c>
      <c r="I1" t="s">
        <v>150</v>
      </c>
      <c r="J1" t="s">
        <v>149</v>
      </c>
      <c r="K1" t="s">
        <v>148</v>
      </c>
      <c r="L1" t="s">
        <v>147</v>
      </c>
      <c r="M1" t="s">
        <v>146</v>
      </c>
      <c r="N1" t="s">
        <v>152</v>
      </c>
      <c r="O1" t="s">
        <v>151</v>
      </c>
      <c r="P1" t="s">
        <v>142</v>
      </c>
      <c r="Q1" t="s">
        <v>7</v>
      </c>
      <c r="R1" t="s">
        <v>8</v>
      </c>
      <c r="S1" t="s">
        <v>9</v>
      </c>
      <c r="T1" t="s">
        <v>10</v>
      </c>
      <c r="U1" t="s">
        <v>11</v>
      </c>
      <c r="V1" t="s">
        <v>12</v>
      </c>
      <c r="W1" t="s">
        <v>13</v>
      </c>
      <c r="X1" s="1" t="s">
        <v>14</v>
      </c>
      <c r="Y1" s="1" t="s">
        <v>15</v>
      </c>
      <c r="Z1" s="2" t="s">
        <v>16</v>
      </c>
      <c r="AA1" t="s">
        <v>17</v>
      </c>
    </row>
    <row r="2" spans="1:27" ht="14.55" customHeight="1" x14ac:dyDescent="0.3">
      <c r="A2" s="5" t="s">
        <v>18</v>
      </c>
      <c r="B2" s="5" t="s">
        <v>19</v>
      </c>
      <c r="C2" s="5">
        <v>35</v>
      </c>
      <c r="D2" s="5" t="s">
        <v>32</v>
      </c>
      <c r="E2" s="5" t="s">
        <v>20</v>
      </c>
      <c r="F2" s="5">
        <v>3</v>
      </c>
      <c r="G2" s="5">
        <v>300</v>
      </c>
      <c r="H2" s="5" t="s">
        <v>21</v>
      </c>
      <c r="I2" s="5">
        <v>2</v>
      </c>
      <c r="J2" s="5">
        <v>1</v>
      </c>
      <c r="K2" s="5">
        <v>3</v>
      </c>
      <c r="L2" s="5">
        <v>4</v>
      </c>
      <c r="M2" s="5">
        <v>1</v>
      </c>
      <c r="N2" s="5">
        <v>1</v>
      </c>
      <c r="O2" s="5">
        <v>4</v>
      </c>
      <c r="P2" s="6">
        <f>AVERAGE(I2:O2)</f>
        <v>2.2857142857142856</v>
      </c>
      <c r="Q2" t="s">
        <v>22</v>
      </c>
      <c r="R2" t="s">
        <v>23</v>
      </c>
      <c r="S2" t="s">
        <v>24</v>
      </c>
      <c r="T2" t="s">
        <v>25</v>
      </c>
      <c r="U2" t="s">
        <v>26</v>
      </c>
      <c r="V2" t="s">
        <v>27</v>
      </c>
      <c r="W2" s="1" t="s">
        <v>28</v>
      </c>
      <c r="X2" s="1" t="s">
        <v>29</v>
      </c>
      <c r="Y2" s="1" t="s">
        <v>42</v>
      </c>
      <c r="Z2" s="3" t="s">
        <v>140</v>
      </c>
      <c r="AA2" s="3" t="s">
        <v>141</v>
      </c>
    </row>
    <row r="3" spans="1:27" ht="14.55" customHeight="1" x14ac:dyDescent="0.3">
      <c r="A3" s="5" t="s">
        <v>18</v>
      </c>
      <c r="B3" s="5" t="s">
        <v>31</v>
      </c>
      <c r="C3" s="5">
        <v>33</v>
      </c>
      <c r="D3" s="5" t="s">
        <v>32</v>
      </c>
      <c r="E3" s="5" t="s">
        <v>33</v>
      </c>
      <c r="F3" s="5">
        <v>1</v>
      </c>
      <c r="G3" s="5">
        <v>631</v>
      </c>
      <c r="H3" s="5" t="s">
        <v>21</v>
      </c>
      <c r="I3" s="5">
        <v>2</v>
      </c>
      <c r="J3" s="5">
        <v>3</v>
      </c>
      <c r="K3" s="5">
        <v>1</v>
      </c>
      <c r="L3" s="5">
        <v>2</v>
      </c>
      <c r="M3" s="5">
        <v>4</v>
      </c>
      <c r="N3" s="5">
        <v>3</v>
      </c>
      <c r="O3" s="5">
        <v>4</v>
      </c>
      <c r="P3" s="6">
        <f t="shared" ref="P3:P11" si="0">AVERAGE(I3:O3)</f>
        <v>2.7142857142857144</v>
      </c>
      <c r="Q3" t="s">
        <v>34</v>
      </c>
      <c r="R3" t="s">
        <v>35</v>
      </c>
      <c r="S3" t="s">
        <v>36</v>
      </c>
      <c r="T3" t="s">
        <v>37</v>
      </c>
      <c r="U3" t="s">
        <v>38</v>
      </c>
      <c r="V3" t="s">
        <v>39</v>
      </c>
      <c r="W3" s="1" t="s">
        <v>40</v>
      </c>
      <c r="X3" s="1" t="s">
        <v>41</v>
      </c>
      <c r="Y3" s="1" t="s">
        <v>42</v>
      </c>
      <c r="Z3" s="3" t="s">
        <v>137</v>
      </c>
      <c r="AA3" s="3" t="s">
        <v>138</v>
      </c>
    </row>
    <row r="4" spans="1:27" ht="14.55" customHeight="1" x14ac:dyDescent="0.3">
      <c r="A4" s="5" t="s">
        <v>43</v>
      </c>
      <c r="B4" s="5" t="s">
        <v>44</v>
      </c>
      <c r="C4" s="5">
        <v>25</v>
      </c>
      <c r="D4" s="5" t="s">
        <v>32</v>
      </c>
      <c r="E4" s="5" t="s">
        <v>33</v>
      </c>
      <c r="F4" s="5">
        <v>0</v>
      </c>
      <c r="G4" s="5">
        <v>252</v>
      </c>
      <c r="H4" s="5" t="s">
        <v>30</v>
      </c>
      <c r="I4" s="5">
        <v>3</v>
      </c>
      <c r="J4" s="5">
        <v>2</v>
      </c>
      <c r="K4" s="5">
        <v>3</v>
      </c>
      <c r="L4" s="5">
        <v>2</v>
      </c>
      <c r="M4" s="5">
        <v>4</v>
      </c>
      <c r="N4" s="5">
        <v>1</v>
      </c>
      <c r="O4" s="5">
        <v>4</v>
      </c>
      <c r="P4" s="6">
        <f t="shared" si="0"/>
        <v>2.7142857142857144</v>
      </c>
      <c r="Q4" t="s">
        <v>46</v>
      </c>
      <c r="R4" t="s">
        <v>47</v>
      </c>
      <c r="S4" t="s">
        <v>48</v>
      </c>
      <c r="T4" t="s">
        <v>45</v>
      </c>
      <c r="U4" t="s">
        <v>49</v>
      </c>
      <c r="V4" t="s">
        <v>50</v>
      </c>
      <c r="W4" s="1" t="s">
        <v>51</v>
      </c>
      <c r="X4" s="1" t="s">
        <v>45</v>
      </c>
      <c r="Y4" s="1" t="s">
        <v>52</v>
      </c>
      <c r="Z4" s="3" t="s">
        <v>136</v>
      </c>
      <c r="AA4" s="3"/>
    </row>
    <row r="5" spans="1:27" ht="14.55" customHeight="1" x14ac:dyDescent="0.3">
      <c r="A5" s="5" t="s">
        <v>43</v>
      </c>
      <c r="B5" s="5" t="s">
        <v>53</v>
      </c>
      <c r="C5" s="5">
        <v>24</v>
      </c>
      <c r="D5" s="5" t="s">
        <v>54</v>
      </c>
      <c r="E5" s="5" t="s">
        <v>33</v>
      </c>
      <c r="F5" s="5">
        <v>1</v>
      </c>
      <c r="G5" s="5"/>
      <c r="H5" s="5"/>
      <c r="I5" s="5">
        <v>4</v>
      </c>
      <c r="J5" s="5">
        <v>3</v>
      </c>
      <c r="K5" s="5">
        <v>2</v>
      </c>
      <c r="L5" s="5">
        <v>3</v>
      </c>
      <c r="M5" s="5">
        <v>4</v>
      </c>
      <c r="N5" s="5">
        <v>5</v>
      </c>
      <c r="O5" s="5">
        <v>3</v>
      </c>
      <c r="P5" s="6">
        <f t="shared" si="0"/>
        <v>3.4285714285714284</v>
      </c>
      <c r="Q5" t="s">
        <v>55</v>
      </c>
      <c r="R5" t="s">
        <v>56</v>
      </c>
      <c r="S5" t="s">
        <v>57</v>
      </c>
      <c r="T5" t="s">
        <v>58</v>
      </c>
      <c r="U5" t="s">
        <v>59</v>
      </c>
      <c r="V5" t="s">
        <v>60</v>
      </c>
      <c r="W5" s="1" t="s">
        <v>56</v>
      </c>
      <c r="X5" s="1" t="s">
        <v>61</v>
      </c>
      <c r="Y5" s="1" t="s">
        <v>62</v>
      </c>
      <c r="Z5" s="3" t="s">
        <v>135</v>
      </c>
      <c r="AA5" s="3" t="s">
        <v>154</v>
      </c>
    </row>
    <row r="6" spans="1:27" ht="14.55" customHeight="1" x14ac:dyDescent="0.3">
      <c r="A6" s="5" t="s">
        <v>63</v>
      </c>
      <c r="B6" s="5" t="s">
        <v>64</v>
      </c>
      <c r="C6" s="5">
        <v>22</v>
      </c>
      <c r="D6" s="5" t="s">
        <v>54</v>
      </c>
      <c r="E6" s="5" t="s">
        <v>33</v>
      </c>
      <c r="F6" s="5">
        <v>5</v>
      </c>
      <c r="G6" s="5">
        <v>420</v>
      </c>
      <c r="H6" s="5" t="s">
        <v>21</v>
      </c>
      <c r="I6" s="5">
        <v>3</v>
      </c>
      <c r="J6" s="5">
        <v>4</v>
      </c>
      <c r="K6" s="5">
        <v>4</v>
      </c>
      <c r="L6" s="5">
        <v>3</v>
      </c>
      <c r="M6" s="5">
        <v>5</v>
      </c>
      <c r="N6" s="5">
        <v>5</v>
      </c>
      <c r="O6" s="5">
        <v>4</v>
      </c>
      <c r="P6" s="6">
        <f t="shared" si="0"/>
        <v>4</v>
      </c>
      <c r="Q6" t="s">
        <v>65</v>
      </c>
      <c r="R6" t="s">
        <v>66</v>
      </c>
      <c r="S6" t="s">
        <v>67</v>
      </c>
      <c r="T6" t="s">
        <v>68</v>
      </c>
      <c r="U6" t="s">
        <v>69</v>
      </c>
      <c r="V6" t="s">
        <v>70</v>
      </c>
      <c r="W6" s="1" t="s">
        <v>71</v>
      </c>
      <c r="X6" s="1" t="s">
        <v>72</v>
      </c>
      <c r="Y6" s="1" t="s">
        <v>73</v>
      </c>
      <c r="Z6" s="3" t="s">
        <v>133</v>
      </c>
      <c r="AA6" s="3" t="s">
        <v>134</v>
      </c>
    </row>
    <row r="7" spans="1:27" ht="14.55" customHeight="1" x14ac:dyDescent="0.3">
      <c r="A7" s="5" t="s">
        <v>63</v>
      </c>
      <c r="B7" s="5" t="s">
        <v>74</v>
      </c>
      <c r="C7" s="5">
        <v>7</v>
      </c>
      <c r="D7" s="5" t="s">
        <v>54</v>
      </c>
      <c r="E7" s="5" t="s">
        <v>75</v>
      </c>
      <c r="F7" s="5">
        <v>10</v>
      </c>
      <c r="G7" s="5">
        <v>1800</v>
      </c>
      <c r="H7" s="5" t="s">
        <v>30</v>
      </c>
      <c r="I7" s="5">
        <v>2</v>
      </c>
      <c r="J7" s="5">
        <v>3</v>
      </c>
      <c r="K7" s="5">
        <v>3</v>
      </c>
      <c r="L7" s="5">
        <v>4</v>
      </c>
      <c r="M7" s="5">
        <v>3</v>
      </c>
      <c r="N7" s="5">
        <v>5</v>
      </c>
      <c r="O7" s="5">
        <v>4</v>
      </c>
      <c r="P7" s="6">
        <f t="shared" si="0"/>
        <v>3.4285714285714284</v>
      </c>
      <c r="Q7" t="s">
        <v>76</v>
      </c>
      <c r="R7" t="s">
        <v>77</v>
      </c>
      <c r="S7" t="s">
        <v>78</v>
      </c>
      <c r="T7" t="s">
        <v>79</v>
      </c>
      <c r="U7" t="s">
        <v>80</v>
      </c>
      <c r="V7" t="s">
        <v>81</v>
      </c>
      <c r="W7" s="1" t="s">
        <v>82</v>
      </c>
      <c r="X7" s="1" t="s">
        <v>83</v>
      </c>
      <c r="Y7" s="1" t="s">
        <v>84</v>
      </c>
      <c r="Z7" s="3" t="s">
        <v>131</v>
      </c>
      <c r="AA7" s="3" t="s">
        <v>132</v>
      </c>
    </row>
    <row r="8" spans="1:27" ht="14.55" customHeight="1" x14ac:dyDescent="0.3">
      <c r="A8" s="5" t="s">
        <v>85</v>
      </c>
      <c r="B8" s="5" t="s">
        <v>86</v>
      </c>
      <c r="C8" s="5">
        <v>22</v>
      </c>
      <c r="D8" s="5" t="s">
        <v>32</v>
      </c>
      <c r="E8" s="5" t="s">
        <v>33</v>
      </c>
      <c r="F8" s="5">
        <v>7</v>
      </c>
      <c r="G8" s="5">
        <v>612</v>
      </c>
      <c r="H8" s="5" t="s">
        <v>21</v>
      </c>
      <c r="I8" s="5">
        <v>3</v>
      </c>
      <c r="J8" s="5">
        <v>4</v>
      </c>
      <c r="K8" s="5">
        <v>3</v>
      </c>
      <c r="L8" s="5">
        <v>3</v>
      </c>
      <c r="M8" s="5">
        <v>5</v>
      </c>
      <c r="N8" s="5">
        <v>3</v>
      </c>
      <c r="O8" s="5">
        <v>4</v>
      </c>
      <c r="P8" s="6">
        <f t="shared" si="0"/>
        <v>3.5714285714285716</v>
      </c>
      <c r="Q8" t="s">
        <v>87</v>
      </c>
      <c r="R8" t="s">
        <v>88</v>
      </c>
      <c r="S8" t="s">
        <v>89</v>
      </c>
      <c r="T8" t="s">
        <v>90</v>
      </c>
      <c r="U8" t="s">
        <v>91</v>
      </c>
      <c r="V8" t="s">
        <v>92</v>
      </c>
      <c r="W8" s="1" t="s">
        <v>93</v>
      </c>
      <c r="X8" s="1" t="s">
        <v>94</v>
      </c>
      <c r="Y8" s="1" t="s">
        <v>42</v>
      </c>
      <c r="Z8" s="3" t="s">
        <v>129</v>
      </c>
      <c r="AA8" s="3" t="s">
        <v>130</v>
      </c>
    </row>
    <row r="9" spans="1:27" ht="14.55" customHeight="1" x14ac:dyDescent="0.3">
      <c r="A9" s="5" t="s">
        <v>85</v>
      </c>
      <c r="B9" s="5" t="s">
        <v>95</v>
      </c>
      <c r="C9" s="5">
        <v>22</v>
      </c>
      <c r="D9" s="5" t="s">
        <v>54</v>
      </c>
      <c r="E9" s="5" t="s">
        <v>33</v>
      </c>
      <c r="F9" s="5">
        <v>5</v>
      </c>
      <c r="G9" s="5">
        <v>468</v>
      </c>
      <c r="H9" s="5" t="s">
        <v>21</v>
      </c>
      <c r="I9" s="5">
        <v>4</v>
      </c>
      <c r="J9" s="5">
        <v>4</v>
      </c>
      <c r="K9" s="5">
        <v>3</v>
      </c>
      <c r="L9" s="5">
        <v>3</v>
      </c>
      <c r="M9" s="5">
        <v>4</v>
      </c>
      <c r="N9" s="5">
        <v>3</v>
      </c>
      <c r="O9" s="5">
        <v>4</v>
      </c>
      <c r="P9" s="6">
        <f t="shared" si="0"/>
        <v>3.5714285714285716</v>
      </c>
      <c r="Q9" t="s">
        <v>96</v>
      </c>
      <c r="R9" t="s">
        <v>97</v>
      </c>
      <c r="S9" t="s">
        <v>98</v>
      </c>
      <c r="T9" t="s">
        <v>99</v>
      </c>
      <c r="U9" t="s">
        <v>100</v>
      </c>
      <c r="V9" t="s">
        <v>101</v>
      </c>
      <c r="W9" s="1" t="s">
        <v>102</v>
      </c>
      <c r="X9" s="1" t="s">
        <v>103</v>
      </c>
      <c r="Y9" s="1" t="s">
        <v>104</v>
      </c>
      <c r="Z9" s="3" t="s">
        <v>127</v>
      </c>
      <c r="AA9" s="3" t="s">
        <v>128</v>
      </c>
    </row>
    <row r="10" spans="1:27" ht="14.55" customHeight="1" x14ac:dyDescent="0.3">
      <c r="A10" s="5" t="s">
        <v>105</v>
      </c>
      <c r="B10" s="5" t="s">
        <v>106</v>
      </c>
      <c r="C10" s="5">
        <v>24</v>
      </c>
      <c r="D10" s="5" t="s">
        <v>54</v>
      </c>
      <c r="E10" s="5" t="s">
        <v>107</v>
      </c>
      <c r="F10" s="5">
        <v>10</v>
      </c>
      <c r="G10" s="5"/>
      <c r="H10" s="5" t="s">
        <v>30</v>
      </c>
      <c r="I10" s="5">
        <v>4</v>
      </c>
      <c r="J10" s="5">
        <v>4</v>
      </c>
      <c r="K10" s="5">
        <v>3</v>
      </c>
      <c r="L10" s="5">
        <v>4</v>
      </c>
      <c r="M10" s="5">
        <v>4</v>
      </c>
      <c r="N10" s="5">
        <v>1</v>
      </c>
      <c r="O10" s="5">
        <v>4</v>
      </c>
      <c r="P10" s="6">
        <f t="shared" si="0"/>
        <v>3.4285714285714284</v>
      </c>
      <c r="Q10" t="s">
        <v>108</v>
      </c>
      <c r="R10" t="s">
        <v>109</v>
      </c>
      <c r="S10" t="s">
        <v>30</v>
      </c>
      <c r="T10" t="s">
        <v>110</v>
      </c>
      <c r="U10" t="s">
        <v>111</v>
      </c>
      <c r="V10" t="s">
        <v>112</v>
      </c>
      <c r="W10" s="1" t="s">
        <v>113</v>
      </c>
      <c r="X10" s="1" t="s">
        <v>114</v>
      </c>
      <c r="Y10" s="1" t="s">
        <v>115</v>
      </c>
      <c r="Z10" s="3" t="s">
        <v>126</v>
      </c>
      <c r="AA10" s="3"/>
    </row>
    <row r="11" spans="1:27" ht="14.55" customHeight="1" x14ac:dyDescent="0.3">
      <c r="A11" s="5" t="s">
        <v>105</v>
      </c>
      <c r="B11" s="5" t="s">
        <v>116</v>
      </c>
      <c r="C11" s="5">
        <v>23</v>
      </c>
      <c r="D11" s="5" t="s">
        <v>32</v>
      </c>
      <c r="E11" s="5" t="s">
        <v>20</v>
      </c>
      <c r="F11" s="5">
        <v>6</v>
      </c>
      <c r="G11" s="5">
        <v>660</v>
      </c>
      <c r="H11" s="5" t="s">
        <v>30</v>
      </c>
      <c r="I11" s="5">
        <v>3</v>
      </c>
      <c r="J11" s="5">
        <v>4</v>
      </c>
      <c r="K11" s="5">
        <v>5</v>
      </c>
      <c r="L11" s="5">
        <v>4</v>
      </c>
      <c r="M11" s="5">
        <v>4</v>
      </c>
      <c r="N11" s="5">
        <v>3</v>
      </c>
      <c r="O11" s="5">
        <v>4</v>
      </c>
      <c r="P11" s="6">
        <f t="shared" si="0"/>
        <v>3.8571428571428572</v>
      </c>
      <c r="Q11" t="s">
        <v>117</v>
      </c>
      <c r="R11" t="s">
        <v>118</v>
      </c>
      <c r="S11" t="s">
        <v>119</v>
      </c>
      <c r="T11" t="s">
        <v>120</v>
      </c>
      <c r="U11" t="s">
        <v>121</v>
      </c>
      <c r="V11" t="s">
        <v>122</v>
      </c>
      <c r="W11" s="1" t="s">
        <v>123</v>
      </c>
      <c r="X11" s="1" t="s">
        <v>124</v>
      </c>
      <c r="Y11" s="1" t="s">
        <v>125</v>
      </c>
      <c r="Z11" s="3" t="s">
        <v>139</v>
      </c>
      <c r="AA11" s="3"/>
    </row>
    <row r="13" spans="1:27" x14ac:dyDescent="0.3">
      <c r="B13" t="s">
        <v>142</v>
      </c>
      <c r="C13" s="4">
        <f t="shared" ref="C13:O13" si="1">AVERAGE(C2:C11)</f>
        <v>23.7</v>
      </c>
      <c r="D13" s="4"/>
      <c r="E13" s="4"/>
      <c r="F13" s="4">
        <f t="shared" si="1"/>
        <v>4.8</v>
      </c>
      <c r="G13" s="4">
        <f t="shared" si="1"/>
        <v>642.875</v>
      </c>
      <c r="H13" s="4"/>
      <c r="I13" s="4">
        <f t="shared" si="1"/>
        <v>3</v>
      </c>
      <c r="J13" s="4">
        <f t="shared" si="1"/>
        <v>3.2</v>
      </c>
      <c r="K13" s="4">
        <f t="shared" si="1"/>
        <v>3</v>
      </c>
      <c r="L13" s="4">
        <f t="shared" si="1"/>
        <v>3.2</v>
      </c>
      <c r="M13" s="4">
        <f t="shared" si="1"/>
        <v>3.8</v>
      </c>
      <c r="N13" s="4">
        <f t="shared" si="1"/>
        <v>3</v>
      </c>
      <c r="O13" s="4">
        <f t="shared" si="1"/>
        <v>3.9</v>
      </c>
      <c r="P13" s="4"/>
      <c r="Q13" s="4"/>
      <c r="R13" s="4"/>
      <c r="S13" s="4"/>
      <c r="T13" s="4"/>
      <c r="U13" s="4"/>
      <c r="V13" s="4"/>
      <c r="W13" s="4"/>
    </row>
    <row r="14" spans="1:27" x14ac:dyDescent="0.3">
      <c r="B14" t="s">
        <v>143</v>
      </c>
      <c r="C14" s="4">
        <f t="shared" ref="C14:O14" si="2">MEDIAN(C2:C11)</f>
        <v>23.5</v>
      </c>
      <c r="D14" s="4"/>
      <c r="E14" s="4"/>
      <c r="F14" s="4">
        <f t="shared" si="2"/>
        <v>5</v>
      </c>
      <c r="G14" s="4">
        <f t="shared" si="2"/>
        <v>540</v>
      </c>
      <c r="H14" s="4"/>
      <c r="I14" s="4">
        <f t="shared" si="2"/>
        <v>3</v>
      </c>
      <c r="J14" s="4">
        <f t="shared" si="2"/>
        <v>3.5</v>
      </c>
      <c r="K14" s="4">
        <f t="shared" si="2"/>
        <v>3</v>
      </c>
      <c r="L14" s="4">
        <f t="shared" si="2"/>
        <v>3</v>
      </c>
      <c r="M14" s="4">
        <f t="shared" si="2"/>
        <v>4</v>
      </c>
      <c r="N14" s="4">
        <f t="shared" si="2"/>
        <v>3</v>
      </c>
      <c r="O14" s="4">
        <f t="shared" si="2"/>
        <v>4</v>
      </c>
      <c r="P14" s="4"/>
      <c r="Q14" s="4"/>
      <c r="R14" s="4"/>
      <c r="S14" s="4"/>
      <c r="T14" s="4"/>
      <c r="U14" s="4"/>
      <c r="V14" s="4"/>
      <c r="W14" s="4"/>
    </row>
    <row r="15" spans="1:27" x14ac:dyDescent="0.3">
      <c r="B15" t="s">
        <v>144</v>
      </c>
      <c r="C15" s="4">
        <f t="shared" ref="C15:O15" si="3">_xlfn.STDEV.S(C2:C11)</f>
        <v>7.4840571290651665</v>
      </c>
      <c r="D15" s="4"/>
      <c r="E15" s="4"/>
      <c r="F15" s="4">
        <f t="shared" si="3"/>
        <v>3.5839146815241629</v>
      </c>
      <c r="G15" s="4">
        <f t="shared" si="3"/>
        <v>491.48853714288913</v>
      </c>
      <c r="H15" s="4"/>
      <c r="I15" s="4">
        <f t="shared" si="3"/>
        <v>0.81649658092772603</v>
      </c>
      <c r="J15" s="4">
        <f t="shared" si="3"/>
        <v>1.0327955589886442</v>
      </c>
      <c r="K15" s="4">
        <f t="shared" si="3"/>
        <v>1.0540925533894598</v>
      </c>
      <c r="L15" s="4">
        <f t="shared" si="3"/>
        <v>0.78881063774661508</v>
      </c>
      <c r="M15" s="4">
        <f t="shared" si="3"/>
        <v>1.1352924243950933</v>
      </c>
      <c r="N15" s="4">
        <f t="shared" si="3"/>
        <v>1.6329931618554521</v>
      </c>
      <c r="O15" s="4">
        <f t="shared" si="3"/>
        <v>0.31622776601683794</v>
      </c>
      <c r="P15" s="4"/>
      <c r="Q15" s="4"/>
      <c r="R15" s="4"/>
      <c r="S15" s="4"/>
      <c r="T15" s="4"/>
      <c r="U15" s="4"/>
      <c r="V15" s="4"/>
      <c r="W15" s="4"/>
    </row>
    <row r="17" spans="2:15" x14ac:dyDescent="0.3">
      <c r="B17" t="s">
        <v>145</v>
      </c>
      <c r="I17" s="4">
        <f>CORREL(I2:I11,$P2:$P11)</f>
        <v>0.49578104668322448</v>
      </c>
      <c r="J17" s="4">
        <f>CORREL(J2:J11,$P2:$P11)</f>
        <v>0.89028491140549948</v>
      </c>
      <c r="K17" s="4">
        <f>CORREL(K2:K11,$P2:$P11)</f>
        <v>0.54861478204840286</v>
      </c>
      <c r="L17" s="4">
        <f>CORREL(L2:L11,$P2:$P11)</f>
        <v>0.24925989556900929</v>
      </c>
      <c r="M17" s="4">
        <f>CORREL(M2:M11,$P2:$P11)</f>
        <v>0.69275141087357306</v>
      </c>
      <c r="N17" s="4">
        <f>CORREL(N2:N11,$P2:$P11)</f>
        <v>0.60201984240105821</v>
      </c>
      <c r="O17" s="4">
        <f>CORREL(O2:O11,$P2:$P11)</f>
        <v>-8.2292217307260357E-2</v>
      </c>
    </row>
  </sheetData>
  <conditionalFormatting sqref="I2:P11">
    <cfRule type="colorScale" priority="1">
      <colorScale>
        <cfvo type="min"/>
        <cfvo type="percentile" val="50"/>
        <cfvo type="max"/>
        <color rgb="FFF8696B"/>
        <color rgb="FFFCFCFF"/>
        <color rgb="FF63BE7B"/>
      </colorScale>
    </cfRule>
    <cfRule type="colorScale" priority="12">
      <colorScale>
        <cfvo type="min"/>
        <cfvo type="max"/>
        <color rgb="FFF8696B"/>
        <color rgb="FFFCFCFF"/>
      </colorScale>
    </cfRule>
  </conditionalFormatting>
  <conditionalFormatting sqref="I3:P11">
    <cfRule type="colorScale" priority="9">
      <colorScale>
        <cfvo type="min"/>
        <cfvo type="percentile" val="50"/>
        <cfvo type="max"/>
        <color rgb="FFF8696B"/>
        <color rgb="FFFFEB84"/>
        <color rgb="FF63BE7B"/>
      </colorScale>
    </cfRule>
  </conditionalFormatting>
  <pageMargins left="0.75" right="0.75" top="1" bottom="1" header="0.5" footer="0.5"/>
  <ignoredErrors>
    <ignoredError sqref="P2:P11"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Audrey Brainerd</cp:lastModifiedBy>
  <dcterms:created xsi:type="dcterms:W3CDTF">2026-04-12T22:35:29Z</dcterms:created>
  <dcterms:modified xsi:type="dcterms:W3CDTF">2026-04-13T09:58:14Z</dcterms:modified>
</cp:coreProperties>
</file>